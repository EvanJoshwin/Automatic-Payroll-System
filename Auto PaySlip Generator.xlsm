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0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harath.g\Desktop\"/>
    </mc:Choice>
  </mc:AlternateContent>
  <xr:revisionPtr revIDLastSave="0" documentId="13_ncr:1_{EDD07E52-B7EF-4114-9E06-9FDB704752D6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Pay Slip" sheetId="1" r:id="rId1"/>
    <sheet name="Employee details" sheetId="3" r:id="rId2"/>
    <sheet name=" Salary Structure" sheetId="4" r:id="rId3"/>
  </sheets>
  <definedNames>
    <definedName name="EmployeeID">'Pay Slip'!$E$5</definedName>
    <definedName name="EmployeeName">'Pay Slip'!$F$3</definedName>
    <definedName name="_xlnm.Print_Area" localSheetId="0">'Pay Slip'!$D$1:$I$18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3" i="1" l="1"/>
  <c r="I12" i="1"/>
  <c r="I11" i="1"/>
  <c r="F14" i="1"/>
  <c r="F13" i="1"/>
  <c r="F12" i="1"/>
  <c r="F11" i="1"/>
  <c r="F4" i="1"/>
  <c r="F3" i="1"/>
  <c r="I6" i="1"/>
  <c r="K11" i="4"/>
  <c r="G7" i="4"/>
  <c r="L7" i="4" s="1"/>
  <c r="G11" i="4"/>
  <c r="L11" i="4" s="1"/>
  <c r="G10" i="4"/>
  <c r="G9" i="4"/>
  <c r="L9" i="4" s="1"/>
  <c r="G8" i="4"/>
  <c r="L8" i="4" s="1"/>
  <c r="J11" i="4"/>
  <c r="J10" i="4"/>
  <c r="J9" i="4"/>
  <c r="J8" i="4"/>
  <c r="J7" i="4"/>
  <c r="G7" i="1"/>
  <c r="C8" i="4"/>
  <c r="H8" i="4" s="1"/>
  <c r="E7" i="1"/>
  <c r="E6" i="1"/>
  <c r="G5" i="1"/>
  <c r="G6" i="1"/>
  <c r="C11" i="4"/>
  <c r="H11" i="4" s="1"/>
  <c r="C10" i="4"/>
  <c r="H10" i="4" s="1"/>
  <c r="C9" i="4"/>
  <c r="H9" i="4" s="1"/>
  <c r="C7" i="4"/>
  <c r="H7" i="4" s="1"/>
  <c r="K8" i="4" l="1"/>
  <c r="O8" i="4" s="1"/>
  <c r="K7" i="4"/>
  <c r="O7" i="4" s="1"/>
  <c r="K10" i="4"/>
  <c r="K9" i="4"/>
  <c r="O9" i="4" s="1"/>
  <c r="L10" i="4"/>
  <c r="O11" i="4"/>
  <c r="O10" i="4" l="1"/>
  <c r="F16" i="1" l="1"/>
  <c r="I16" i="1" l="1"/>
  <c r="I18" i="1" s="1"/>
</calcChain>
</file>

<file path=xl/sharedStrings.xml><?xml version="1.0" encoding="utf-8"?>
<sst xmlns="http://schemas.openxmlformats.org/spreadsheetml/2006/main" count="91" uniqueCount="70">
  <si>
    <t>Employee ID</t>
  </si>
  <si>
    <t>Designation</t>
  </si>
  <si>
    <t>Employee Name</t>
  </si>
  <si>
    <t>Location</t>
  </si>
  <si>
    <t>Personal Level</t>
  </si>
  <si>
    <t>PF No</t>
  </si>
  <si>
    <t>UAN</t>
  </si>
  <si>
    <t>Bank A/c No</t>
  </si>
  <si>
    <t>Earnings</t>
  </si>
  <si>
    <t>Deductions</t>
  </si>
  <si>
    <t>Particulars</t>
  </si>
  <si>
    <t>Current Period</t>
  </si>
  <si>
    <t>Basic Salary</t>
  </si>
  <si>
    <t>Allowances</t>
  </si>
  <si>
    <t>Bonus</t>
  </si>
  <si>
    <t>Overtime</t>
  </si>
  <si>
    <t>PF Contribution</t>
  </si>
  <si>
    <t>Professional Tax</t>
  </si>
  <si>
    <t>Loan</t>
  </si>
  <si>
    <t>Total</t>
  </si>
  <si>
    <t>Net Pay</t>
  </si>
  <si>
    <t>Allowance</t>
  </si>
  <si>
    <t>Provident Fund</t>
  </si>
  <si>
    <t>Evan</t>
  </si>
  <si>
    <t>Latha</t>
  </si>
  <si>
    <t>Sharath</t>
  </si>
  <si>
    <t>Piyush</t>
  </si>
  <si>
    <t>Madhav</t>
  </si>
  <si>
    <t>System Engineer</t>
  </si>
  <si>
    <t>Senior System Engineer</t>
  </si>
  <si>
    <t>Assistant Manager</t>
  </si>
  <si>
    <t>Employee No</t>
  </si>
  <si>
    <t>Hydrabad</t>
  </si>
  <si>
    <t>Odissa</t>
  </si>
  <si>
    <t>Mangalore</t>
  </si>
  <si>
    <t>Chennai</t>
  </si>
  <si>
    <t>Total Work Days</t>
  </si>
  <si>
    <t>XYZ Company, Mysore</t>
  </si>
  <si>
    <t>Month/Year</t>
  </si>
  <si>
    <t>DOB</t>
  </si>
  <si>
    <t>DOJ</t>
  </si>
  <si>
    <t>PF No.</t>
  </si>
  <si>
    <t>Bank Name</t>
  </si>
  <si>
    <t>A/c No.</t>
  </si>
  <si>
    <t>Email Id</t>
  </si>
  <si>
    <t>Month</t>
  </si>
  <si>
    <t>No. of Days</t>
  </si>
  <si>
    <t>Year</t>
  </si>
  <si>
    <t>December</t>
  </si>
  <si>
    <t>Manager</t>
  </si>
  <si>
    <t>ABC/EF/123</t>
  </si>
  <si>
    <t>ABC/EF/124</t>
  </si>
  <si>
    <t>ABC/EF/125</t>
  </si>
  <si>
    <t>ABC/EF/126</t>
  </si>
  <si>
    <t>ABC/EF/127</t>
  </si>
  <si>
    <t>ABC Bank</t>
  </si>
  <si>
    <t>Total Payable Work Days</t>
  </si>
  <si>
    <t>UAN No.</t>
  </si>
  <si>
    <t>OverTime (Hrs)</t>
  </si>
  <si>
    <t>Salary Structure</t>
  </si>
  <si>
    <t>Basic salary</t>
  </si>
  <si>
    <t>Earning Salary</t>
  </si>
  <si>
    <t>Gross Salary</t>
  </si>
  <si>
    <t>Net Salary</t>
  </si>
  <si>
    <t>Overtime Pay</t>
  </si>
  <si>
    <t>evan.joshwin@infosys.com</t>
  </si>
  <si>
    <t>latha.kongara@infosys.com</t>
  </si>
  <si>
    <t>sharath.g@infosys.com</t>
  </si>
  <si>
    <t>piyush.swain02@infosys.com</t>
  </si>
  <si>
    <t>madhavareddy.avula@infosys.com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</si>
</sst>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20"/>
      <color theme="1"/>
      <name val="Algerian"/>
      <family val="5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</fills>
  <borders count="3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79">
    <xf numFmtId="0" fontId="0" fillId="0" borderId="0" xfId="0"/>
    <xf numFmtId="0" fontId="0" fillId="0" borderId="0" xfId="0" applyBorder="1"/>
    <xf numFmtId="0" fontId="0" fillId="0" borderId="7" xfId="0" applyBorder="1"/>
    <xf numFmtId="0" fontId="0" fillId="0" borderId="4" xfId="0" applyBorder="1"/>
    <xf numFmtId="0" fontId="0" fillId="0" borderId="5" xfId="0" applyBorder="1"/>
    <xf numFmtId="2" fontId="2" fillId="0" borderId="26" xfId="0" applyNumberFormat="1" applyFont="1" applyBorder="1" applyAlignment="1">
      <alignment vertical="center"/>
    </xf>
    <xf numFmtId="2" fontId="2" fillId="0" borderId="27" xfId="0" applyNumberFormat="1" applyFont="1" applyBorder="1" applyAlignment="1">
      <alignment vertical="center"/>
    </xf>
    <xf numFmtId="2" fontId="3" fillId="0" borderId="12" xfId="0" applyNumberFormat="1" applyFont="1" applyBorder="1" applyAlignment="1">
      <alignment vertical="center"/>
    </xf>
    <xf numFmtId="2" fontId="2" fillId="0" borderId="31" xfId="0" applyNumberFormat="1" applyFont="1" applyBorder="1"/>
    <xf numFmtId="2" fontId="2" fillId="0" borderId="32" xfId="0" applyNumberFormat="1" applyFont="1" applyBorder="1"/>
    <xf numFmtId="2" fontId="0" fillId="0" borderId="13" xfId="0" applyNumberFormat="1" applyBorder="1"/>
    <xf numFmtId="2" fontId="0" fillId="0" borderId="8" xfId="0" applyNumberFormat="1" applyBorder="1"/>
    <xf numFmtId="0" fontId="3" fillId="2" borderId="17" xfId="0" applyFont="1" applyFill="1" applyBorder="1" applyAlignment="1">
      <alignment vertical="center"/>
    </xf>
    <xf numFmtId="0" fontId="3" fillId="2" borderId="7" xfId="0" applyFont="1" applyFill="1" applyBorder="1" applyAlignment="1">
      <alignment vertical="center"/>
    </xf>
    <xf numFmtId="0" fontId="3" fillId="2" borderId="20" xfId="0" applyFont="1" applyFill="1" applyBorder="1" applyAlignment="1">
      <alignment vertical="center"/>
    </xf>
    <xf numFmtId="0" fontId="3" fillId="2" borderId="23" xfId="0" applyFont="1" applyFill="1" applyBorder="1" applyAlignment="1">
      <alignment vertical="center"/>
    </xf>
    <xf numFmtId="0" fontId="3" fillId="2" borderId="0" xfId="0" applyFont="1" applyFill="1" applyBorder="1" applyAlignment="1">
      <alignment vertical="center"/>
    </xf>
    <xf numFmtId="0" fontId="3" fillId="2" borderId="25" xfId="0" applyFont="1" applyFill="1" applyBorder="1" applyAlignment="1">
      <alignment vertical="center"/>
    </xf>
    <xf numFmtId="0" fontId="3" fillId="3" borderId="26" xfId="0" applyFont="1" applyFill="1" applyBorder="1" applyAlignment="1">
      <alignment vertical="center"/>
    </xf>
    <xf numFmtId="0" fontId="3" fillId="3" borderId="10" xfId="0" applyFont="1" applyFill="1" applyBorder="1" applyAlignment="1">
      <alignment vertical="center"/>
    </xf>
    <xf numFmtId="2" fontId="2" fillId="3" borderId="6" xfId="0" applyNumberFormat="1" applyFont="1" applyFill="1" applyBorder="1"/>
    <xf numFmtId="2" fontId="2" fillId="3" borderId="10" xfId="0" applyNumberFormat="1" applyFont="1" applyFill="1" applyBorder="1"/>
    <xf numFmtId="2" fontId="3" fillId="0" borderId="11" xfId="0" applyNumberFormat="1" applyFont="1" applyBorder="1"/>
    <xf numFmtId="0" fontId="1" fillId="0" borderId="0" xfId="0" applyFont="1"/>
    <xf numFmtId="0" fontId="3" fillId="2" borderId="23" xfId="0" applyFont="1" applyFill="1" applyBorder="1" applyAlignment="1">
      <alignment horizontal="center" vertical="center"/>
    </xf>
    <xf numFmtId="0" fontId="3" fillId="0" borderId="23" xfId="0" applyFont="1" applyBorder="1" applyAlignment="1">
      <alignment horizontal="left" vertical="center"/>
    </xf>
    <xf numFmtId="0" fontId="3" fillId="0" borderId="25" xfId="0" applyFont="1" applyBorder="1" applyAlignment="1">
      <alignment horizontal="left" vertical="center"/>
    </xf>
    <xf numFmtId="0" fontId="0" fillId="4" borderId="6" xfId="0" applyFill="1" applyBorder="1"/>
    <xf numFmtId="0" fontId="0" fillId="0" borderId="6" xfId="0" applyBorder="1"/>
    <xf numFmtId="14" fontId="0" fillId="0" borderId="0" xfId="0" applyNumberFormat="1"/>
    <xf numFmtId="0" fontId="5" fillId="0" borderId="0" xfId="1"/>
    <xf numFmtId="0" fontId="0" fillId="0" borderId="0" xfId="0" applyFill="1" applyBorder="1"/>
    <xf numFmtId="0" fontId="0" fillId="0" borderId="0" xfId="0" applyFill="1" applyBorder="1" applyAlignment="1">
      <alignment vertical="center"/>
    </xf>
    <xf numFmtId="0" fontId="0" fillId="0" borderId="0" xfId="0" applyFill="1" applyBorder="1" applyAlignment="1">
      <alignment horizontal="right" vertical="center"/>
    </xf>
    <xf numFmtId="2" fontId="0" fillId="0" borderId="6" xfId="0" applyNumberFormat="1" applyBorder="1"/>
    <xf numFmtId="0" fontId="0" fillId="4" borderId="6" xfId="0" applyFill="1" applyBorder="1" applyAlignment="1">
      <alignment horizontal="center"/>
    </xf>
    <xf numFmtId="12" fontId="0" fillId="0" borderId="6" xfId="0" applyNumberFormat="1" applyBorder="1"/>
    <xf numFmtId="2" fontId="0" fillId="0" borderId="6" xfId="0" applyNumberFormat="1" applyFont="1" applyBorder="1"/>
    <xf numFmtId="0" fontId="3" fillId="0" borderId="0" xfId="0" applyFont="1" applyBorder="1" applyAlignment="1">
      <alignment horizontal="left" vertical="center"/>
    </xf>
    <xf numFmtId="17" fontId="3" fillId="0" borderId="28" xfId="0" applyNumberFormat="1" applyFont="1" applyBorder="1" applyAlignment="1">
      <alignment horizontal="left" vertical="center"/>
    </xf>
    <xf numFmtId="0" fontId="3" fillId="0" borderId="24" xfId="0" applyFont="1" applyBorder="1" applyAlignment="1">
      <alignment horizontal="left" vertical="center"/>
    </xf>
    <xf numFmtId="0" fontId="3" fillId="0" borderId="21" xfId="0" applyFont="1" applyBorder="1" applyAlignment="1">
      <alignment horizontal="left" vertical="center"/>
    </xf>
    <xf numFmtId="0" fontId="3" fillId="3" borderId="9" xfId="0" applyFont="1" applyFill="1" applyBorder="1" applyAlignment="1">
      <alignment horizontal="center"/>
    </xf>
    <xf numFmtId="0" fontId="3" fillId="3" borderId="6" xfId="0" applyFont="1" applyFill="1" applyBorder="1" applyAlignment="1">
      <alignment horizontal="center"/>
    </xf>
    <xf numFmtId="0" fontId="3" fillId="2" borderId="15" xfId="0" applyFont="1" applyFill="1" applyBorder="1" applyAlignment="1">
      <alignment horizontal="center"/>
    </xf>
    <xf numFmtId="0" fontId="3" fillId="2" borderId="14" xfId="0" applyFont="1" applyFill="1" applyBorder="1" applyAlignment="1">
      <alignment horizontal="center"/>
    </xf>
    <xf numFmtId="0" fontId="3" fillId="3" borderId="30" xfId="0" applyFont="1" applyFill="1" applyBorder="1" applyAlignment="1">
      <alignment horizontal="center" vertical="center"/>
    </xf>
    <xf numFmtId="0" fontId="3" fillId="3" borderId="26" xfId="0" applyFont="1" applyFill="1" applyBorder="1" applyAlignment="1">
      <alignment horizontal="center" vertical="center"/>
    </xf>
    <xf numFmtId="0" fontId="2" fillId="0" borderId="17" xfId="0" applyFont="1" applyBorder="1" applyAlignment="1">
      <alignment horizontal="left" vertical="center"/>
    </xf>
    <xf numFmtId="0" fontId="2" fillId="0" borderId="18" xfId="0" applyFont="1" applyBorder="1" applyAlignment="1">
      <alignment horizontal="left" vertical="center"/>
    </xf>
    <xf numFmtId="0" fontId="2" fillId="0" borderId="7" xfId="0" applyFont="1" applyBorder="1" applyAlignment="1">
      <alignment horizontal="left" vertical="center"/>
    </xf>
    <xf numFmtId="0" fontId="2" fillId="0" borderId="19" xfId="0" applyFont="1" applyBorder="1" applyAlignment="1">
      <alignment horizontal="left" vertical="center"/>
    </xf>
    <xf numFmtId="0" fontId="3" fillId="0" borderId="20" xfId="0" applyFont="1" applyBorder="1" applyAlignment="1">
      <alignment horizontal="left" vertical="center"/>
    </xf>
    <xf numFmtId="0" fontId="2" fillId="0" borderId="22" xfId="0" applyFont="1" applyBorder="1" applyAlignment="1">
      <alignment horizontal="left" vertical="center"/>
    </xf>
    <xf numFmtId="0" fontId="2" fillId="0" borderId="16" xfId="0" applyFont="1" applyBorder="1" applyAlignment="1">
      <alignment horizontal="left"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7" xfId="0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3" fillId="0" borderId="23" xfId="0" applyFont="1" applyBorder="1" applyAlignment="1">
      <alignment horizontal="left" vertical="center"/>
    </xf>
    <xf numFmtId="0" fontId="3" fillId="0" borderId="28" xfId="0" applyFont="1" applyBorder="1" applyAlignment="1">
      <alignment horizontal="left" vertical="center"/>
    </xf>
    <xf numFmtId="0" fontId="3" fillId="0" borderId="25" xfId="0" applyFont="1" applyBorder="1" applyAlignment="1">
      <alignment horizontal="left" vertical="center"/>
    </xf>
    <xf numFmtId="0" fontId="3" fillId="0" borderId="29" xfId="0" applyFont="1" applyBorder="1" applyAlignment="1">
      <alignment horizontal="left" vertical="center"/>
    </xf>
    <xf numFmtId="0" fontId="3" fillId="0" borderId="16" xfId="0" applyFont="1" applyBorder="1" applyAlignment="1">
      <alignment horizontal="left" vertical="center"/>
    </xf>
    <xf numFmtId="0" fontId="3" fillId="0" borderId="19" xfId="0" applyFont="1" applyBorder="1" applyAlignment="1">
      <alignment horizontal="left" vertical="center"/>
    </xf>
    <xf numFmtId="0" fontId="3" fillId="0" borderId="7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3" fillId="2" borderId="10" xfId="0" applyFont="1" applyFill="1" applyBorder="1" applyAlignment="1">
      <alignment horizontal="center" vertical="center"/>
    </xf>
    <xf numFmtId="0" fontId="3" fillId="0" borderId="17" xfId="0" applyFont="1" applyBorder="1" applyAlignment="1">
      <alignment horizontal="left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25" xfId="0" applyFont="1" applyFill="1" applyBorder="1" applyAlignment="1">
      <alignment horizontal="center" vertical="center"/>
    </xf>
    <xf numFmtId="0" fontId="3" fillId="0" borderId="8" xfId="0" applyFont="1" applyBorder="1" applyAlignment="1">
      <alignment horizontal="left" vertical="center"/>
    </xf>
    <xf numFmtId="0" fontId="0" fillId="4" borderId="6" xfId="0" applyFill="1" applyBorder="1" applyAlignment="1">
      <alignment horizontal="center"/>
    </xf>
    <xf numFmtId="0" fontId="0" fillId="4" borderId="6" xfId="0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845</xdr:colOff>
      <xdr:row>19</xdr:row>
      <xdr:rowOff>16934</xdr:rowOff>
    </xdr:from>
    <xdr:to>
      <xdr:col>9</xdr:col>
      <xdr:colOff>422</xdr:colOff>
      <xdr:row>21</xdr:row>
      <xdr:rowOff>424</xdr:rowOff>
    </xdr:to>
    <xdr:sp macro="[0]!GeneratePDF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25AA0E59-9B58-54C8-A5D9-83250FC7B64C}"/>
            </a:ext>
          </a:extLst>
        </xdr:cNvPr>
        <xdr:cNvSpPr/>
      </xdr:nvSpPr>
      <xdr:spPr>
        <a:xfrm>
          <a:off x="10651065" y="6049434"/>
          <a:ext cx="1761067" cy="609600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ln>
          <a:solidFill>
            <a:schemeClr val="accent1">
              <a:lumMod val="40000"/>
              <a:lumOff val="60000"/>
            </a:schemeClr>
          </a:solidFill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solidFill>
                <a:sysClr val="windowText" lastClr="000000"/>
              </a:solidFill>
            </a:rPr>
            <a:t>Print PDF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mailto:sharath.g@infosys.com" TargetMode="External"/><Relationship Id="rId2" Type="http://schemas.openxmlformats.org/officeDocument/2006/relationships/hyperlink" Target="mailto:latha.kongara@infosys.com" TargetMode="External"/><Relationship Id="rId1" Type="http://schemas.openxmlformats.org/officeDocument/2006/relationships/hyperlink" Target="mailto:evan.joshwin@infosys.com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mailto:madhavareddy.avula@infosys.com" TargetMode="External"/><Relationship Id="rId4" Type="http://schemas.openxmlformats.org/officeDocument/2006/relationships/hyperlink" Target="mailto:piyush.swain02@infosys.com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D1:M22"/>
  <sheetViews>
    <sheetView showGridLines="0" tabSelected="1" zoomScale="70" zoomScaleNormal="70" workbookViewId="0">
      <selection activeCell="M11" sqref="M11"/>
    </sheetView>
  </sheetViews>
  <sheetFormatPr defaultRowHeight="14.4" x14ac:dyDescent="0.3"/>
  <cols>
    <col min="4" max="9" width="25.77734375" customWidth="1"/>
  </cols>
  <sheetData>
    <row r="1" spans="4:13" ht="25.05" customHeight="1" x14ac:dyDescent="0.3">
      <c r="D1" s="55" t="s">
        <v>37</v>
      </c>
      <c r="E1" s="56"/>
      <c r="F1" s="56"/>
      <c r="G1" s="56"/>
      <c r="H1" s="56"/>
      <c r="I1" s="57"/>
    </row>
    <row r="2" spans="4:13" ht="25.05" customHeight="1" x14ac:dyDescent="0.3">
      <c r="D2" s="58"/>
      <c r="E2" s="59"/>
      <c r="F2" s="59"/>
      <c r="G2" s="59"/>
      <c r="H2" s="59"/>
      <c r="I2" s="60"/>
    </row>
    <row r="3" spans="4:13" ht="25.05" customHeight="1" x14ac:dyDescent="0.3">
      <c r="D3" s="73" t="s">
        <v>2</v>
      </c>
      <c r="E3" s="61"/>
      <c r="F3" s="61" t="str">
        <f>VLOOKUP(E5,'Employee details'!A2:L6,2,)</f>
        <v>Madhav</v>
      </c>
      <c r="G3" s="61"/>
      <c r="H3" s="61"/>
      <c r="I3" s="62"/>
    </row>
    <row r="4" spans="4:13" ht="25.05" customHeight="1" x14ac:dyDescent="0.3">
      <c r="D4" s="52" t="s">
        <v>1</v>
      </c>
      <c r="E4" s="63"/>
      <c r="F4" s="63" t="str">
        <f>VLOOKUP(E5,'Employee details'!A2:L6,4,)</f>
        <v>Manager</v>
      </c>
      <c r="G4" s="63"/>
      <c r="H4" s="63"/>
      <c r="I4" s="64"/>
    </row>
    <row r="5" spans="4:13" ht="25.05" customHeight="1" x14ac:dyDescent="0.3">
      <c r="D5" s="12" t="s">
        <v>31</v>
      </c>
      <c r="E5" s="25">
        <v>111105</v>
      </c>
      <c r="F5" s="15" t="s">
        <v>5</v>
      </c>
      <c r="G5" s="25" t="str">
        <f>VLOOKUP(E5,'Employee details'!A2:L6,8,)</f>
        <v>ABC/EF/127</v>
      </c>
      <c r="H5" s="24" t="s">
        <v>38</v>
      </c>
      <c r="I5" s="39">
        <v>44896</v>
      </c>
    </row>
    <row r="6" spans="4:13" ht="25.05" customHeight="1" x14ac:dyDescent="0.3">
      <c r="D6" s="13" t="s">
        <v>3</v>
      </c>
      <c r="E6" s="38" t="str">
        <f>VLOOKUP(E5,'Employee details'!A2:L6,3,)</f>
        <v>Chennai</v>
      </c>
      <c r="F6" s="16" t="s">
        <v>6</v>
      </c>
      <c r="G6" s="38">
        <f>VLOOKUP(E5,'Employee details'!A2:L6,9,)</f>
        <v>0</v>
      </c>
      <c r="H6" s="74" t="s">
        <v>56</v>
      </c>
      <c r="I6" s="76">
        <f>VLOOKUP(E5,' Salary Structure'!A7:O11,5,)</f>
        <v>31</v>
      </c>
    </row>
    <row r="7" spans="4:13" ht="25.05" customHeight="1" x14ac:dyDescent="0.3">
      <c r="D7" s="14" t="s">
        <v>4</v>
      </c>
      <c r="E7" s="26">
        <f>VLOOKUP(E5,'Employee details'!A2:L6,5,)</f>
        <v>6</v>
      </c>
      <c r="F7" s="17" t="s">
        <v>7</v>
      </c>
      <c r="G7" s="26">
        <f>VLOOKUP(E5,'Employee details'!A2:L6,11,)</f>
        <v>1000000005</v>
      </c>
      <c r="H7" s="75"/>
      <c r="I7" s="64"/>
    </row>
    <row r="8" spans="4:13" ht="25.05" customHeight="1" x14ac:dyDescent="0.3">
      <c r="D8" s="67"/>
      <c r="E8" s="68"/>
      <c r="F8" s="68"/>
      <c r="G8" s="68"/>
      <c r="H8" s="68"/>
      <c r="I8" s="69"/>
      <c r="M8" s="1"/>
    </row>
    <row r="9" spans="4:13" ht="25.05" customHeight="1" x14ac:dyDescent="0.3">
      <c r="D9" s="70" t="s">
        <v>8</v>
      </c>
      <c r="E9" s="71"/>
      <c r="F9" s="71"/>
      <c r="G9" s="71" t="s">
        <v>9</v>
      </c>
      <c r="H9" s="71"/>
      <c r="I9" s="72"/>
    </row>
    <row r="10" spans="4:13" ht="25.05" customHeight="1" x14ac:dyDescent="0.3">
      <c r="D10" s="46" t="s">
        <v>10</v>
      </c>
      <c r="E10" s="47"/>
      <c r="F10" s="18" t="s">
        <v>11</v>
      </c>
      <c r="G10" s="47" t="s">
        <v>10</v>
      </c>
      <c r="H10" s="47"/>
      <c r="I10" s="19" t="s">
        <v>11</v>
      </c>
    </row>
    <row r="11" spans="4:13" ht="25.05" customHeight="1" x14ac:dyDescent="0.3">
      <c r="D11" s="48" t="s">
        <v>12</v>
      </c>
      <c r="E11" s="49"/>
      <c r="F11" s="5">
        <f>VLOOKUP(EmployeeID,' Salary Structure'!A7:O11,7,)</f>
        <v>70000</v>
      </c>
      <c r="G11" s="53" t="s">
        <v>16</v>
      </c>
      <c r="H11" s="49"/>
      <c r="I11" s="8">
        <f>VLOOKUP(E5,' Salary Structure'!A7:O11,12)</f>
        <v>8400</v>
      </c>
    </row>
    <row r="12" spans="4:13" ht="25.05" customHeight="1" x14ac:dyDescent="0.3">
      <c r="D12" s="50" t="s">
        <v>13</v>
      </c>
      <c r="E12" s="51"/>
      <c r="F12" s="6">
        <f>VLOOKUP(E5,' Salary Structure'!A7:O11,8)</f>
        <v>10500</v>
      </c>
      <c r="G12" s="54" t="s">
        <v>17</v>
      </c>
      <c r="H12" s="51"/>
      <c r="I12" s="9">
        <f>VLOOKUP(EmployeeID,' Salary Structure'!A7:O11,13,)</f>
        <v>200</v>
      </c>
    </row>
    <row r="13" spans="4:13" ht="25.05" customHeight="1" x14ac:dyDescent="0.3">
      <c r="D13" s="50" t="s">
        <v>14</v>
      </c>
      <c r="E13" s="51"/>
      <c r="F13" s="6">
        <f>VLOOKUP(E5,' Salary Structure'!A7:O11,9)</f>
        <v>8000</v>
      </c>
      <c r="G13" s="54" t="s">
        <v>18</v>
      </c>
      <c r="H13" s="51"/>
      <c r="I13" s="9">
        <f>VLOOKUP(E5,' Salary Structure'!A7:O11,14,)</f>
        <v>0</v>
      </c>
    </row>
    <row r="14" spans="4:13" ht="25.05" customHeight="1" x14ac:dyDescent="0.3">
      <c r="D14" s="50" t="s">
        <v>15</v>
      </c>
      <c r="E14" s="51"/>
      <c r="F14" s="6">
        <f>VLOOKUP(E5,' Salary Structure'!A7:O11,10,)</f>
        <v>1693.5483870967741</v>
      </c>
      <c r="G14" s="65"/>
      <c r="H14" s="66"/>
      <c r="I14" s="9"/>
    </row>
    <row r="15" spans="4:13" ht="25.05" customHeight="1" x14ac:dyDescent="0.3">
      <c r="D15" s="52"/>
      <c r="E15" s="41"/>
      <c r="F15" s="7"/>
      <c r="G15" s="40"/>
      <c r="H15" s="41"/>
      <c r="I15" s="10"/>
      <c r="M15" s="23"/>
    </row>
    <row r="16" spans="4:13" ht="25.05" customHeight="1" x14ac:dyDescent="0.35">
      <c r="D16" s="42" t="s">
        <v>19</v>
      </c>
      <c r="E16" s="43"/>
      <c r="F16" s="20">
        <f>SUM(F11:F14)</f>
        <v>90193.548387096773</v>
      </c>
      <c r="G16" s="43" t="s">
        <v>19</v>
      </c>
      <c r="H16" s="43"/>
      <c r="I16" s="21">
        <f>SUM(I11:I13)</f>
        <v>8600</v>
      </c>
    </row>
    <row r="17" spans="4:9" ht="25.05" customHeight="1" x14ac:dyDescent="0.3">
      <c r="D17" s="2"/>
      <c r="E17" s="1"/>
      <c r="F17" s="1"/>
      <c r="G17" s="1"/>
      <c r="H17" s="1"/>
      <c r="I17" s="11"/>
    </row>
    <row r="18" spans="4:9" ht="25.05" customHeight="1" thickBot="1" x14ac:dyDescent="0.4">
      <c r="D18" s="3"/>
      <c r="E18" s="4"/>
      <c r="F18" s="4"/>
      <c r="G18" s="44" t="s">
        <v>20</v>
      </c>
      <c r="H18" s="45"/>
      <c r="I18" s="22">
        <f>SUM(F16,I16)</f>
        <v>98793.548387096773</v>
      </c>
    </row>
    <row r="19" spans="4:9" ht="25.05" customHeight="1" x14ac:dyDescent="0.3"/>
    <row r="20" spans="4:9" ht="25.05" customHeight="1" x14ac:dyDescent="0.3"/>
    <row r="21" spans="4:9" ht="25.05" customHeight="1" x14ac:dyDescent="0.3"/>
    <row r="22" spans="4:9" ht="25.05" customHeight="1" x14ac:dyDescent="0.3"/>
  </sheetData>
  <mergeCells count="25">
    <mergeCell ref="D1:I2"/>
    <mergeCell ref="F3:I3"/>
    <mergeCell ref="F4:I4"/>
    <mergeCell ref="G13:H13"/>
    <mergeCell ref="G14:H14"/>
    <mergeCell ref="D8:I8"/>
    <mergeCell ref="D9:F9"/>
    <mergeCell ref="G9:I9"/>
    <mergeCell ref="D3:E3"/>
    <mergeCell ref="D4:E4"/>
    <mergeCell ref="H6:H7"/>
    <mergeCell ref="I6:I7"/>
    <mergeCell ref="G15:H15"/>
    <mergeCell ref="D16:E16"/>
    <mergeCell ref="G16:H16"/>
    <mergeCell ref="G18:H18"/>
    <mergeCell ref="D10:E10"/>
    <mergeCell ref="G10:H10"/>
    <mergeCell ref="D11:E11"/>
    <mergeCell ref="D12:E12"/>
    <mergeCell ref="D13:E13"/>
    <mergeCell ref="D14:E14"/>
    <mergeCell ref="D15:E15"/>
    <mergeCell ref="G11:H11"/>
    <mergeCell ref="G12:H12"/>
  </mergeCells>
  <pageMargins left="0.7" right="0.7" top="0.75" bottom="0.75" header="0.3" footer="0.3"/>
  <pageSetup scale="58" fitToHeight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30DAE26-6F13-48D2-AC80-875F5435DB35}">
          <x14:formula1>
            <xm:f>'Employee details'!$A$2:$A$6</xm:f>
          </x14:formula1>
          <xm:sqref>E5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E7670C-F413-40BA-8F09-63432AA42E1B}">
  <sheetPr codeName="Sheet3"/>
  <dimension ref="A1:L21"/>
  <sheetViews>
    <sheetView topLeftCell="B2" workbookViewId="0">
      <selection activeCell="K9" sqref="K9"/>
    </sheetView>
  </sheetViews>
  <sheetFormatPr defaultRowHeight="14.4" x14ac:dyDescent="0.3"/>
  <cols>
    <col min="1" max="2" width="15.77734375" customWidth="1"/>
    <col min="3" max="3" width="20.88671875" customWidth="1"/>
    <col min="4" max="4" width="19.6640625" customWidth="1"/>
    <col min="5" max="9" width="15.77734375" customWidth="1"/>
    <col min="10" max="10" width="17.33203125" customWidth="1"/>
    <col min="11" max="11" width="20.88671875" customWidth="1"/>
    <col min="12" max="12" width="29.77734375" customWidth="1"/>
    <col min="13" max="20" width="15.77734375" customWidth="1"/>
  </cols>
  <sheetData>
    <row r="1" spans="1:12" ht="25.05" customHeight="1" x14ac:dyDescent="0.3">
      <c r="A1" t="s">
        <v>0</v>
      </c>
      <c r="B1" t="s">
        <v>2</v>
      </c>
      <c r="C1" t="s">
        <v>3</v>
      </c>
      <c r="D1" t="s">
        <v>1</v>
      </c>
      <c r="E1" t="s">
        <v>4</v>
      </c>
      <c r="F1" t="s">
        <v>39</v>
      </c>
      <c r="G1" t="s">
        <v>40</v>
      </c>
      <c r="H1" t="s">
        <v>41</v>
      </c>
      <c r="I1" t="s">
        <v>57</v>
      </c>
      <c r="J1" t="s">
        <v>42</v>
      </c>
      <c r="K1" t="s">
        <v>43</v>
      </c>
      <c r="L1" t="s">
        <v>44</v>
      </c>
    </row>
    <row r="2" spans="1:12" ht="25.05" customHeight="1" x14ac:dyDescent="0.3">
      <c r="A2">
        <v>111101</v>
      </c>
      <c r="B2" t="s">
        <v>23</v>
      </c>
      <c r="C2" t="s">
        <v>32</v>
      </c>
      <c r="D2" t="s">
        <v>28</v>
      </c>
      <c r="E2">
        <v>3</v>
      </c>
      <c r="F2" s="29">
        <v>36526</v>
      </c>
      <c r="G2" s="29">
        <v>44781</v>
      </c>
      <c r="H2" t="s">
        <v>50</v>
      </c>
      <c r="J2" t="s">
        <v>55</v>
      </c>
      <c r="K2">
        <v>1000000001</v>
      </c>
      <c r="L2" s="30" t="s">
        <v>65</v>
      </c>
    </row>
    <row r="3" spans="1:12" ht="25.05" customHeight="1" x14ac:dyDescent="0.3">
      <c r="A3">
        <v>111102</v>
      </c>
      <c r="B3" t="s">
        <v>24</v>
      </c>
      <c r="C3" t="s">
        <v>33</v>
      </c>
      <c r="D3" t="s">
        <v>29</v>
      </c>
      <c r="E3">
        <v>3</v>
      </c>
      <c r="F3" s="29">
        <v>36527</v>
      </c>
      <c r="G3" s="29">
        <v>44782</v>
      </c>
      <c r="H3" t="s">
        <v>51</v>
      </c>
      <c r="J3" t="s">
        <v>55</v>
      </c>
      <c r="K3">
        <v>1000000002</v>
      </c>
      <c r="L3" s="30" t="s">
        <v>66</v>
      </c>
    </row>
    <row r="4" spans="1:12" ht="25.05" customHeight="1" x14ac:dyDescent="0.3">
      <c r="A4">
        <v>111103</v>
      </c>
      <c r="B4" t="s">
        <v>25</v>
      </c>
      <c r="C4" t="s">
        <v>34</v>
      </c>
      <c r="D4" t="s">
        <v>29</v>
      </c>
      <c r="E4">
        <v>3</v>
      </c>
      <c r="F4" s="29">
        <v>35798</v>
      </c>
      <c r="G4" s="29">
        <v>44053</v>
      </c>
      <c r="H4" t="s">
        <v>52</v>
      </c>
      <c r="J4" t="s">
        <v>55</v>
      </c>
      <c r="K4">
        <v>1000000003</v>
      </c>
      <c r="L4" s="30" t="s">
        <v>67</v>
      </c>
    </row>
    <row r="5" spans="1:12" ht="25.05" customHeight="1" x14ac:dyDescent="0.3">
      <c r="A5">
        <v>111104</v>
      </c>
      <c r="B5" t="s">
        <v>26</v>
      </c>
      <c r="C5" t="s">
        <v>35</v>
      </c>
      <c r="D5" t="s">
        <v>30</v>
      </c>
      <c r="E5">
        <v>6</v>
      </c>
      <c r="F5" s="29">
        <v>35068</v>
      </c>
      <c r="G5" s="29">
        <v>42593</v>
      </c>
      <c r="H5" t="s">
        <v>53</v>
      </c>
      <c r="J5" t="s">
        <v>55</v>
      </c>
      <c r="K5">
        <v>1000000004</v>
      </c>
      <c r="L5" s="30" t="s">
        <v>68</v>
      </c>
    </row>
    <row r="6" spans="1:12" ht="25.05" customHeight="1" x14ac:dyDescent="0.3">
      <c r="A6">
        <v>111105</v>
      </c>
      <c r="B6" t="s">
        <v>27</v>
      </c>
      <c r="C6" t="s">
        <v>35</v>
      </c>
      <c r="D6" t="s">
        <v>49</v>
      </c>
      <c r="E6">
        <v>6</v>
      </c>
      <c r="F6" s="29">
        <v>32878</v>
      </c>
      <c r="G6" s="29">
        <v>41133</v>
      </c>
      <c r="H6" t="s">
        <v>54</v>
      </c>
      <c r="J6" t="s">
        <v>55</v>
      </c>
      <c r="K6">
        <v>1000000005</v>
      </c>
      <c r="L6" s="30" t="s">
        <v>69</v>
      </c>
    </row>
    <row r="7" spans="1:12" ht="25.05" customHeight="1" x14ac:dyDescent="0.3"/>
    <row r="8" spans="1:12" ht="25.05" customHeight="1" x14ac:dyDescent="0.3"/>
    <row r="9" spans="1:12" ht="25.05" customHeight="1" x14ac:dyDescent="0.3"/>
    <row r="10" spans="1:12" ht="25.05" customHeight="1" x14ac:dyDescent="0.3"/>
    <row r="11" spans="1:12" ht="25.05" customHeight="1" x14ac:dyDescent="0.3"/>
    <row r="12" spans="1:12" ht="25.05" customHeight="1" x14ac:dyDescent="0.3"/>
    <row r="13" spans="1:12" ht="25.05" customHeight="1" x14ac:dyDescent="0.3"/>
    <row r="14" spans="1:12" ht="25.05" customHeight="1" x14ac:dyDescent="0.3"/>
    <row r="15" spans="1:12" ht="25.05" customHeight="1" x14ac:dyDescent="0.3"/>
    <row r="16" spans="1:12" ht="25.05" customHeight="1" x14ac:dyDescent="0.3"/>
    <row r="17" ht="25.05" customHeight="1" x14ac:dyDescent="0.3"/>
    <row r="18" ht="25.05" customHeight="1" x14ac:dyDescent="0.3"/>
    <row r="19" ht="25.05" customHeight="1" x14ac:dyDescent="0.3"/>
    <row r="20" ht="25.05" customHeight="1" x14ac:dyDescent="0.3"/>
    <row r="21" ht="25.05" customHeight="1" x14ac:dyDescent="0.3"/>
  </sheetData>
  <phoneticPr fontId="6" type="noConversion"/>
  <hyperlinks>
    <hyperlink ref="L2" r:id="rId1" xr:uid="{EAFD3172-3DA2-493F-9365-55D7895DED43}"/>
    <hyperlink ref="L3" r:id="rId2" xr:uid="{4ADCFE68-AA88-4716-8B25-44659BEC23EF}"/>
    <hyperlink ref="L4" r:id="rId3" xr:uid="{E441FF46-3E74-4F2A-9784-683F777ABA38}"/>
    <hyperlink ref="L5" r:id="rId4" xr:uid="{DF9445C8-716D-468A-A101-03355B73CAE2}"/>
    <hyperlink ref="L6" r:id="rId5" xr:uid="{C827FFCD-57B1-4926-899D-38CF0BE46457}"/>
  </hyperlinks>
  <pageMargins left="0.7" right="0.7" top="0.75" bottom="0.75" header="0.3" footer="0.3"/>
  <pageSetup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6B0BD-9685-4EED-B08C-19D7992D3A1F}">
  <sheetPr codeName="Sheet4"/>
  <dimension ref="A1:O27"/>
  <sheetViews>
    <sheetView zoomScale="80" zoomScaleNormal="80" workbookViewId="0">
      <selection activeCell="E16" sqref="E16"/>
    </sheetView>
  </sheetViews>
  <sheetFormatPr defaultRowHeight="14.4" x14ac:dyDescent="0.3"/>
  <cols>
    <col min="1" max="1" width="23.109375" customWidth="1"/>
    <col min="2" max="19" width="15.77734375" customWidth="1"/>
  </cols>
  <sheetData>
    <row r="1" spans="1:15" ht="25.05" customHeight="1" x14ac:dyDescent="0.3">
      <c r="A1" t="s">
        <v>45</v>
      </c>
      <c r="B1" t="s">
        <v>48</v>
      </c>
      <c r="I1" s="31"/>
      <c r="J1" s="31"/>
      <c r="K1" s="31"/>
      <c r="L1" s="31"/>
      <c r="M1" s="31"/>
      <c r="N1" s="31"/>
    </row>
    <row r="2" spans="1:15" ht="25.05" customHeight="1" x14ac:dyDescent="0.3">
      <c r="A2" t="s">
        <v>47</v>
      </c>
      <c r="B2">
        <v>2022</v>
      </c>
      <c r="I2" s="31"/>
      <c r="J2" s="31"/>
      <c r="K2" s="31"/>
      <c r="L2" s="31"/>
      <c r="M2" s="31"/>
      <c r="N2" s="31"/>
    </row>
    <row r="3" spans="1:15" ht="25.05" customHeight="1" x14ac:dyDescent="0.3">
      <c r="A3" t="s">
        <v>46</v>
      </c>
      <c r="B3">
        <v>31</v>
      </c>
      <c r="I3" s="32"/>
      <c r="J3" s="33"/>
      <c r="K3" s="32"/>
      <c r="L3" s="32"/>
      <c r="M3" s="32"/>
      <c r="N3" s="32"/>
    </row>
    <row r="4" spans="1:15" ht="25.05" customHeight="1" x14ac:dyDescent="0.3"/>
    <row r="5" spans="1:15" ht="25.05" customHeight="1" x14ac:dyDescent="0.3">
      <c r="A5" s="78" t="s">
        <v>0</v>
      </c>
      <c r="B5" s="77" t="s">
        <v>59</v>
      </c>
      <c r="C5" s="77"/>
      <c r="D5" s="77"/>
      <c r="E5" s="78" t="s">
        <v>36</v>
      </c>
      <c r="F5" s="78" t="s">
        <v>58</v>
      </c>
      <c r="G5" s="77" t="s">
        <v>61</v>
      </c>
      <c r="H5" s="77"/>
      <c r="I5" s="77"/>
      <c r="J5" s="35"/>
      <c r="K5" s="78" t="s">
        <v>62</v>
      </c>
      <c r="L5" s="77" t="s">
        <v>9</v>
      </c>
      <c r="M5" s="77"/>
      <c r="N5" s="77"/>
      <c r="O5" s="78" t="s">
        <v>63</v>
      </c>
    </row>
    <row r="6" spans="1:15" ht="25.05" customHeight="1" x14ac:dyDescent="0.3">
      <c r="A6" s="78"/>
      <c r="B6" s="27" t="s">
        <v>12</v>
      </c>
      <c r="C6" s="27" t="s">
        <v>21</v>
      </c>
      <c r="D6" s="27" t="s">
        <v>14</v>
      </c>
      <c r="E6" s="78"/>
      <c r="F6" s="78"/>
      <c r="G6" s="27" t="s">
        <v>60</v>
      </c>
      <c r="H6" s="27" t="s">
        <v>21</v>
      </c>
      <c r="I6" s="27" t="s">
        <v>14</v>
      </c>
      <c r="J6" s="27" t="s">
        <v>64</v>
      </c>
      <c r="K6" s="78"/>
      <c r="L6" s="27" t="s">
        <v>22</v>
      </c>
      <c r="M6" s="27" t="s">
        <v>17</v>
      </c>
      <c r="N6" s="27" t="s">
        <v>18</v>
      </c>
      <c r="O6" s="78"/>
    </row>
    <row r="7" spans="1:15" ht="25.05" customHeight="1" x14ac:dyDescent="0.3">
      <c r="A7" s="28">
        <v>111101</v>
      </c>
      <c r="B7" s="34">
        <v>15000</v>
      </c>
      <c r="C7" s="34">
        <f>SUM(B7*0.15)</f>
        <v>2250</v>
      </c>
      <c r="D7" s="34">
        <v>1500</v>
      </c>
      <c r="E7" s="36">
        <v>31</v>
      </c>
      <c r="F7" s="28">
        <v>6</v>
      </c>
      <c r="G7" s="34">
        <f>SUM(B7*(E7/B3))</f>
        <v>15000</v>
      </c>
      <c r="H7" s="34">
        <f>SUM(C7*(E7/B3))</f>
        <v>2250</v>
      </c>
      <c r="I7" s="34">
        <v>1500</v>
      </c>
      <c r="J7" s="34">
        <f>SUM((((B7/E7)/8)*F7)/2)</f>
        <v>181.45161290322579</v>
      </c>
      <c r="K7" s="34">
        <f>SUM(G7+H7+I7+J7)</f>
        <v>18931.451612903227</v>
      </c>
      <c r="L7" s="34">
        <f>SUM(G7*0.12)</f>
        <v>1800</v>
      </c>
      <c r="M7" s="34">
        <v>200</v>
      </c>
      <c r="N7" s="34">
        <v>0</v>
      </c>
      <c r="O7" s="34">
        <f>SUM(K7-L7-M7-N7)</f>
        <v>16931.451612903227</v>
      </c>
    </row>
    <row r="8" spans="1:15" ht="25.05" customHeight="1" x14ac:dyDescent="0.3">
      <c r="A8" s="28">
        <v>111102</v>
      </c>
      <c r="B8" s="34">
        <v>15000</v>
      </c>
      <c r="C8" s="34">
        <f>SUM(B8*0.15)</f>
        <v>2250</v>
      </c>
      <c r="D8" s="34">
        <v>1500</v>
      </c>
      <c r="E8" s="36">
        <v>31</v>
      </c>
      <c r="F8" s="28">
        <v>0</v>
      </c>
      <c r="G8" s="34">
        <f>SUM(B8*(E8/B3))</f>
        <v>15000</v>
      </c>
      <c r="H8" s="34">
        <f>SUM(C8*(E8/B3))</f>
        <v>2250</v>
      </c>
      <c r="I8" s="34">
        <v>1500</v>
      </c>
      <c r="J8" s="34">
        <f>SUM((((B8/E8)/8)*F8)/2)</f>
        <v>0</v>
      </c>
      <c r="K8" s="34">
        <f>SUM(G8+H8+I8+J8)</f>
        <v>18750</v>
      </c>
      <c r="L8" s="34">
        <f>SUM(G8*0.12)</f>
        <v>1800</v>
      </c>
      <c r="M8" s="34">
        <v>200</v>
      </c>
      <c r="N8" s="34">
        <v>0</v>
      </c>
      <c r="O8" s="34">
        <f>SUM(K8-L8-M8-N8)</f>
        <v>16750</v>
      </c>
    </row>
    <row r="9" spans="1:15" ht="25.05" customHeight="1" x14ac:dyDescent="0.3">
      <c r="A9" s="28">
        <v>111103</v>
      </c>
      <c r="B9" s="34">
        <v>20000</v>
      </c>
      <c r="C9" s="34">
        <f>SUM(B9*0.15)</f>
        <v>3000</v>
      </c>
      <c r="D9" s="34">
        <v>3000</v>
      </c>
      <c r="E9" s="36">
        <v>30</v>
      </c>
      <c r="F9" s="28">
        <v>0</v>
      </c>
      <c r="G9" s="34">
        <f>SUM(B9*(E9/B3))</f>
        <v>19354.83870967742</v>
      </c>
      <c r="H9" s="34">
        <f>SUM(C9*(E9/B3))</f>
        <v>2903.2258064516132</v>
      </c>
      <c r="I9" s="34">
        <v>3000</v>
      </c>
      <c r="J9" s="34">
        <f>SUM((((B9/E9)/8)*F9)/2)</f>
        <v>0</v>
      </c>
      <c r="K9" s="34">
        <f>SUM(G9+H9+I9+J9)</f>
        <v>25258.064516129034</v>
      </c>
      <c r="L9" s="34">
        <f>SUM(G9*0.12)</f>
        <v>2322.5806451612902</v>
      </c>
      <c r="M9" s="34">
        <v>200</v>
      </c>
      <c r="N9" s="34">
        <v>0</v>
      </c>
      <c r="O9" s="34">
        <f>SUM(K9-L9-M9-N9)</f>
        <v>22735.483870967742</v>
      </c>
    </row>
    <row r="10" spans="1:15" ht="25.05" customHeight="1" x14ac:dyDescent="0.3">
      <c r="A10" s="28">
        <v>111104</v>
      </c>
      <c r="B10" s="34">
        <v>40000</v>
      </c>
      <c r="C10" s="34">
        <f>SUM(B10*0.15)</f>
        <v>6000</v>
      </c>
      <c r="D10" s="34">
        <v>4500</v>
      </c>
      <c r="E10" s="36">
        <v>30</v>
      </c>
      <c r="F10" s="28">
        <v>0</v>
      </c>
      <c r="G10" s="37">
        <f>SUM(B10*(E10/B3))</f>
        <v>38709.677419354841</v>
      </c>
      <c r="H10" s="34">
        <f>SUM(C10*(E10/B3))</f>
        <v>5806.4516129032263</v>
      </c>
      <c r="I10" s="34">
        <v>4500</v>
      </c>
      <c r="J10" s="34">
        <f>SUM((((B10/E10)/8)*F10)/2)</f>
        <v>0</v>
      </c>
      <c r="K10" s="34">
        <f>SUM(G10+H10+I10+J10)</f>
        <v>49016.129032258068</v>
      </c>
      <c r="L10" s="34">
        <f>SUM(G10*0.12)</f>
        <v>4645.1612903225805</v>
      </c>
      <c r="M10" s="34">
        <v>200</v>
      </c>
      <c r="N10" s="34">
        <v>0</v>
      </c>
      <c r="O10" s="34">
        <f>SUM(K10-L10-M10-N10)</f>
        <v>44170.967741935485</v>
      </c>
    </row>
    <row r="11" spans="1:15" ht="25.05" customHeight="1" x14ac:dyDescent="0.3">
      <c r="A11" s="28">
        <v>111105</v>
      </c>
      <c r="B11" s="34">
        <v>70000</v>
      </c>
      <c r="C11" s="34">
        <f>SUM(B11*0.15)</f>
        <v>10500</v>
      </c>
      <c r="D11" s="34">
        <v>8000</v>
      </c>
      <c r="E11" s="36">
        <v>31</v>
      </c>
      <c r="F11" s="28">
        <v>12</v>
      </c>
      <c r="G11" s="34">
        <f>SUM(B11*(E11/B3))</f>
        <v>70000</v>
      </c>
      <c r="H11" s="34">
        <f>SUM(C11*(E11/B3))</f>
        <v>10500</v>
      </c>
      <c r="I11" s="34">
        <v>8000</v>
      </c>
      <c r="J11" s="34">
        <f>SUM((((B11/E11)/8)*F11)/2)</f>
        <v>1693.5483870967741</v>
      </c>
      <c r="K11" s="34">
        <f>SUM(G11+H11+I11+J11)</f>
        <v>90193.548387096773</v>
      </c>
      <c r="L11" s="34">
        <f>SUM(G11*0.12)</f>
        <v>8400</v>
      </c>
      <c r="M11" s="34">
        <v>200</v>
      </c>
      <c r="N11" s="34">
        <v>0</v>
      </c>
      <c r="O11" s="34">
        <f>SUM(K11-L11-M11-N11)</f>
        <v>81593.548387096773</v>
      </c>
    </row>
    <row r="12" spans="1:15" ht="25.05" customHeight="1" x14ac:dyDescent="0.3"/>
    <row r="13" spans="1:15" ht="25.05" customHeight="1" x14ac:dyDescent="0.3"/>
    <row r="14" spans="1:15" ht="25.05" customHeight="1" x14ac:dyDescent="0.3"/>
    <row r="15" spans="1:15" ht="25.05" customHeight="1" x14ac:dyDescent="0.3"/>
    <row r="16" spans="1:15" ht="25.05" customHeight="1" x14ac:dyDescent="0.3"/>
    <row r="17" ht="25.05" customHeight="1" x14ac:dyDescent="0.3"/>
    <row r="18" ht="25.05" customHeight="1" x14ac:dyDescent="0.3"/>
    <row r="19" ht="25.05" customHeight="1" x14ac:dyDescent="0.3"/>
    <row r="20" ht="25.05" customHeight="1" x14ac:dyDescent="0.3"/>
    <row r="21" ht="25.05" customHeight="1" x14ac:dyDescent="0.3"/>
    <row r="22" ht="25.05" customHeight="1" x14ac:dyDescent="0.3"/>
    <row r="23" ht="25.05" customHeight="1" x14ac:dyDescent="0.3"/>
    <row r="24" ht="25.05" customHeight="1" x14ac:dyDescent="0.3"/>
    <row r="25" ht="25.05" customHeight="1" x14ac:dyDescent="0.3"/>
    <row r="26" ht="25.05" customHeight="1" x14ac:dyDescent="0.3"/>
    <row r="27" ht="25.05" customHeight="1" x14ac:dyDescent="0.3"/>
  </sheetData>
  <mergeCells count="8">
    <mergeCell ref="L5:N5"/>
    <mergeCell ref="K5:K6"/>
    <mergeCell ref="O5:O6"/>
    <mergeCell ref="A5:A6"/>
    <mergeCell ref="B5:D5"/>
    <mergeCell ref="E5:E6"/>
    <mergeCell ref="F5:F6"/>
    <mergeCell ref="G5:I5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Pay Slip</vt:lpstr>
      <vt:lpstr>Employee details</vt:lpstr>
      <vt:lpstr> Salary Structure</vt:lpstr>
      <vt:lpstr>EmployeeID</vt:lpstr>
      <vt:lpstr>EmployeeName</vt:lpstr>
      <vt:lpstr>'Pay Slip'!Print_Area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Sharath P G</dc:creator>
  <cp:lastModifiedBy>Sharath P G</cp:lastModifiedBy>
  <cp:lastPrinted>2023-01-27T06:24:13Z</cp:lastPrinted>
  <dcterms:created xsi:type="dcterms:W3CDTF">2015-06-05T18:17:20Z</dcterms:created>
  <dcterms:modified xsi:type="dcterms:W3CDTF">2023-01-27T09:59:50Z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a0819fa7-4367-4500-ba88-dd630d977609_Enabled">
    <vt:lpwstr>true</vt:lpwstr>
  </property>
  <property fmtid="{D5CDD505-2E9C-101B-9397-08002B2CF9AE}" pid="3" name="MSIP_Label_a0819fa7-4367-4500-ba88-dd630d977609_SetDate">
    <vt:lpwstr>2023-01-25T04:08:18Z</vt:lpwstr>
  </property>
  <property fmtid="{D5CDD505-2E9C-101B-9397-08002B2CF9AE}" pid="4" name="MSIP_Label_a0819fa7-4367-4500-ba88-dd630d977609_Method">
    <vt:lpwstr>Standard</vt:lpwstr>
  </property>
  <property fmtid="{D5CDD505-2E9C-101B-9397-08002B2CF9AE}" pid="5" name="MSIP_Label_a0819fa7-4367-4500-ba88-dd630d977609_Name">
    <vt:lpwstr>a0819fa7-4367-4500-ba88-dd630d977609</vt:lpwstr>
  </property>
  <property fmtid="{D5CDD505-2E9C-101B-9397-08002B2CF9AE}" pid="6" name="MSIP_Label_a0819fa7-4367-4500-ba88-dd630d977609_SiteId">
    <vt:lpwstr>63ce7d59-2f3e-42cd-a8cc-be764cff5eb6</vt:lpwstr>
  </property>
  <property fmtid="{D5CDD505-2E9C-101B-9397-08002B2CF9AE}" pid="7" name="MSIP_Label_a0819fa7-4367-4500-ba88-dd630d977609_ActionId">
    <vt:lpwstr>3f7a74b2-1510-480f-9b1c-04ec50363e68</vt:lpwstr>
  </property>
  <property fmtid="{D5CDD505-2E9C-101B-9397-08002B2CF9AE}" pid="8" name="MSIP_Label_a0819fa7-4367-4500-ba88-dd630d977609_ContentBits">
    <vt:lpwstr>0</vt:lpwstr>
  </property>
</Properties>
</file>